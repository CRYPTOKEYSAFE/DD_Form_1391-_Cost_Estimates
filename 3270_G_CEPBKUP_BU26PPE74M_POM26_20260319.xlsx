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LOCK9" sheetId="2" state="visible" r:id="rId2"/>
    <sheet name="BLOCK10" sheetId="3" state="visible" r:id="rId3"/>
    <sheet name="BACKUP" sheetId="4" state="visible" r:id="rId4"/>
    <sheet name="RATES" sheetId="5" state="visible" r:id="rId5"/>
    <sheet name="REFERENCES" sheetId="6" state="visible" r:id="rId6"/>
  </sheets>
  <definedNames/>
  <calcPr calcId="124519" fullCalcOnLoad="1"/>
</workbook>
</file>

<file path=xl/styles.xml><?xml version="1.0" encoding="utf-8"?>
<styleSheet xmlns="http://schemas.openxmlformats.org/spreadsheetml/2006/main">
  <numFmts count="7">
    <numFmt numFmtId="164" formatCode="&quot;$&quot;#,##0"/>
    <numFmt numFmtId="165" formatCode="0.00000"/>
    <numFmt numFmtId="166" formatCode="&quot;$&quot;#,##0.00"/>
    <numFmt numFmtId="167" formatCode="&quot;$&quot;#,##0;[Red]&quot;$&quot;-#,##0"/>
    <numFmt numFmtId="168" formatCode="#,##0;[Red]-#,##0"/>
    <numFmt numFmtId="169" formatCode="&quot;(&quot;#,##0&quot;)&quot;"/>
    <numFmt numFmtId="170" formatCode="0.0%"/>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1" applyAlignment="1" pivotButton="0" quotePrefix="0" xfId="0">
      <alignment horizontal="center"/>
    </xf>
    <xf numFmtId="0" fontId="2" fillId="0" borderId="1" pivotButton="0" quotePrefix="0" xfId="0"/>
    <xf numFmtId="0" fontId="0" fillId="0" borderId="1" pivotButton="0" quotePrefix="0" xfId="0"/>
    <xf numFmtId="3" fontId="2" fillId="0" borderId="1" pivotButton="0" quotePrefix="0" xfId="0"/>
    <xf numFmtId="0" fontId="0" fillId="0" borderId="1" applyAlignment="1" pivotButton="0" quotePrefix="0" xfId="0">
      <alignment horizontal="center"/>
    </xf>
    <xf numFmtId="3" fontId="0" fillId="0" borderId="1" applyAlignment="1" pivotButton="0" quotePrefix="0" xfId="0">
      <alignment horizontal="right"/>
    </xf>
    <xf numFmtId="4" fontId="0" fillId="0" borderId="1" applyAlignment="1" pivotButton="0" quotePrefix="0" xfId="0">
      <alignment horizontal="right"/>
    </xf>
    <xf numFmtId="3" fontId="2" fillId="0" borderId="0" pivotButton="0" quotePrefix="0" xfId="0"/>
    <xf numFmtId="3" fontId="0" fillId="0" borderId="0" pivotButton="0" quotePrefix="0" xfId="0"/>
    <xf numFmtId="0" fontId="2" fillId="2" borderId="0" pivotButton="0" quotePrefix="0" xfId="0"/>
    <xf numFmtId="3" fontId="2" fillId="2" borderId="0" pivotButton="0" quotePrefix="0" xfId="0"/>
    <xf numFmtId="169" fontId="0" fillId="0" borderId="0" pivotButton="0" quotePrefix="0" xfId="0"/>
    <xf numFmtId="0" fontId="0" fillId="0" borderId="0" applyAlignment="1" pivotButton="0" quotePrefix="0" xfId="0">
      <alignment vertical="top" wrapText="1"/>
    </xf>
    <xf numFmtId="164" fontId="0" fillId="3" borderId="0" pivotButton="0" quotePrefix="0" xfId="0"/>
    <xf numFmtId="3" fontId="0" fillId="3" borderId="0" pivotButton="0" quotePrefix="0" xfId="0"/>
    <xf numFmtId="165" fontId="0" fillId="3" borderId="0" pivotButton="0" quotePrefix="0" xfId="0"/>
    <xf numFmtId="166" fontId="0" fillId="0" borderId="0" pivotButton="0" quotePrefix="0" xfId="0"/>
    <xf numFmtId="164" fontId="0" fillId="0" borderId="0" pivotButton="0" quotePrefix="0" xfId="0"/>
    <xf numFmtId="167" fontId="0" fillId="0" borderId="0" pivotButton="0" quotePrefix="0" xfId="0"/>
    <xf numFmtId="168" fontId="2"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8" customWidth="1" min="1" max="1"/>
    <col width="80" customWidth="1" min="2" max="2"/>
  </cols>
  <sheetData>
    <row r="1">
      <c r="A1" s="1" t="inlineStr">
        <is>
          <t>DD FORM 1391 COST ESTIMATE</t>
        </is>
      </c>
    </row>
    <row r="3">
      <c r="A3" s="2" t="inlineStr">
        <is>
          <t>Building</t>
        </is>
      </c>
      <c r="B3" t="inlineStr">
        <is>
          <t>SCH-3270</t>
        </is>
      </c>
    </row>
    <row r="4">
      <c r="A4" s="2" t="inlineStr">
        <is>
          <t>iNFADS Description</t>
        </is>
      </c>
      <c r="B4" t="inlineStr">
        <is>
          <t>AUTO ORGANIZATIONAL SHOP CAB</t>
        </is>
      </c>
    </row>
    <row r="5">
      <c r="A5" s="2" t="inlineStr">
        <is>
          <t>Primary CCN</t>
        </is>
      </c>
      <c r="B5" t="n">
        <v>21451</v>
      </c>
    </row>
    <row r="6">
      <c r="A6" s="2" t="inlineStr">
        <is>
          <t>RPUID</t>
        </is>
      </c>
      <c r="B6" t="n">
        <v>1174058</v>
      </c>
    </row>
    <row r="7">
      <c r="A7" s="2" t="inlineStr">
        <is>
          <t>PAX ID</t>
        </is>
      </c>
      <c r="B7" t="n">
        <v>387568</v>
      </c>
    </row>
    <row r="8">
      <c r="A8" s="2" t="inlineStr">
        <is>
          <t>Fi Web Project Number</t>
        </is>
      </c>
      <c r="B8" t="inlineStr">
        <is>
          <t>BU26PPE74M</t>
        </is>
      </c>
    </row>
    <row r="9">
      <c r="A9" s="2" t="inlineStr">
        <is>
          <t>Installation/UIC</t>
        </is>
      </c>
      <c r="B9" t="inlineStr">
        <is>
          <t>M67400 (SH)</t>
        </is>
      </c>
    </row>
    <row r="10">
      <c r="A10" s="2" t="inlineStr">
        <is>
          <t>Location</t>
        </is>
      </c>
      <c r="B10" t="inlineStr">
        <is>
          <t>MARINE CORPS BASE, CAMP SMEDLEY BUTLER (CAMP SCHWAB-6009), HENOKO OKINAWA, JAPAN</t>
        </is>
      </c>
    </row>
    <row r="11">
      <c r="A11" s="2" t="inlineStr">
        <is>
          <t>Project Title</t>
        </is>
      </c>
      <c r="B11" t="inlineStr">
        <is>
          <t>Repair Bldg. 3270</t>
        </is>
      </c>
    </row>
    <row r="12">
      <c r="A12" s="2" t="inlineStr">
        <is>
          <t>Fund Type</t>
        </is>
      </c>
      <c r="B12" t="inlineStr">
        <is>
          <t>O&amp;MMC</t>
        </is>
      </c>
    </row>
    <row r="13">
      <c r="A13" s="2" t="inlineStr">
        <is>
          <t>Acquisition Method</t>
        </is>
      </c>
      <c r="B13" t="inlineStr">
        <is>
          <t>Design-Build (DB)</t>
        </is>
      </c>
    </row>
    <row r="14">
      <c r="A14" s="2" t="inlineStr">
        <is>
          <t>Total Building GSF (iNFADS)</t>
        </is>
      </c>
      <c r="B14" t="n">
        <v>25390</v>
      </c>
    </row>
    <row r="15">
      <c r="A15" s="2" t="inlineStr">
        <is>
          <t>PRV (iNFADS)</t>
        </is>
      </c>
      <c r="B15" t="n">
        <v>39507617</v>
      </c>
    </row>
    <row r="16">
      <c r="A16" s="2" t="inlineStr">
        <is>
          <t>LSH (2.5% of PRV)</t>
        </is>
      </c>
      <c r="B16" t="n">
        <v>987690</v>
      </c>
    </row>
    <row r="17">
      <c r="A17" s="2" t="inlineStr">
        <is>
          <t>Locked Total Project Cost ($)</t>
        </is>
      </c>
      <c r="B17" t="n">
        <v>3527753</v>
      </c>
    </row>
    <row r="18">
      <c r="A18" s="2" t="inlineStr">
        <is>
          <t>Locked TPC ($000, printed)</t>
        </is>
      </c>
      <c r="B18" t="n">
        <v>3528</v>
      </c>
    </row>
    <row r="19">
      <c r="A19" s="2" t="inlineStr">
        <is>
          <t>Prepared By</t>
        </is>
      </c>
      <c r="B19" t="inlineStr">
        <is>
          <t>Anthony L. Potter, Facilities Planner, MCIPAC G-F PPE</t>
        </is>
      </c>
    </row>
    <row r="20">
      <c r="A20" s="2" t="inlineStr">
        <is>
          <t>Signing Officer (PWO)</t>
        </is>
      </c>
      <c r="B20" t="inlineStr">
        <is>
          <t>CDR Justus K. O'Connor</t>
        </is>
      </c>
    </row>
    <row r="21">
      <c r="A21" s="2" t="inlineStr">
        <is>
          <t>Government Client</t>
        </is>
      </c>
      <c r="B21" t="inlineStr">
        <is>
          <t>Bil Hawkins, P.E., PMP, Deputy PWO</t>
        </is>
      </c>
    </row>
    <row r="22">
      <c r="A22" s="2" t="inlineStr">
        <is>
          <t>Reviewer</t>
        </is>
      </c>
      <c r="B22" t="inlineStr">
        <is>
          <t>Robert W. Kaye, RA, Planning Director NAVFAC FEAD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60" customWidth="1" min="1" max="1"/>
    <col width="6" customWidth="1" min="2" max="2"/>
    <col width="12" customWidth="1" min="3" max="3"/>
    <col width="12" customWidth="1" min="4" max="4"/>
    <col width="14" customWidth="1" min="5" max="5"/>
  </cols>
  <sheetData>
    <row r="1">
      <c r="A1" s="3" t="inlineStr">
        <is>
          <t>9. Cost Estimates</t>
        </is>
      </c>
    </row>
    <row r="3">
      <c r="A3" s="4" t="inlineStr">
        <is>
          <t>Item</t>
        </is>
      </c>
      <c r="B3" s="4" t="inlineStr">
        <is>
          <t>UM</t>
        </is>
      </c>
      <c r="C3" s="4" t="inlineStr">
        <is>
          <t>Quantity</t>
        </is>
      </c>
      <c r="D3" s="4" t="inlineStr">
        <is>
          <t>Unit Cost</t>
        </is>
      </c>
      <c r="E3" s="4" t="inlineStr">
        <is>
          <t>Cost ($000)</t>
        </is>
      </c>
    </row>
    <row r="4">
      <c r="A4" s="5" t="inlineStr">
        <is>
          <t>PRIMARY FACILITY</t>
        </is>
      </c>
      <c r="B4" s="6" t="n"/>
      <c r="C4" s="6" t="n"/>
      <c r="D4" s="6" t="n"/>
      <c r="E4" s="7">
        <f>BACKUP!B13</f>
        <v/>
      </c>
    </row>
    <row r="5">
      <c r="A5" s="6" t="inlineStr">
        <is>
          <t xml:space="preserve">  AUTO ORGANIZATIONAL SHOP CAB FAC#3270 (Conversion / Alteration)</t>
        </is>
      </c>
      <c r="B5" s="8" t="inlineStr">
        <is>
          <t>SF</t>
        </is>
      </c>
      <c r="C5" s="9">
        <f>BACKUP!B5</f>
        <v/>
      </c>
      <c r="D5" s="10">
        <f>BACKUP!B11</f>
        <v/>
      </c>
      <c r="E5" s="9">
        <f>ROUND(C5*D5/1000,0)</f>
        <v/>
      </c>
    </row>
    <row r="7">
      <c r="A7" s="2" t="inlineStr">
        <is>
          <t>Subtotal</t>
        </is>
      </c>
      <c r="E7" s="11">
        <f>BACKUP!B13</f>
        <v/>
      </c>
    </row>
    <row r="8">
      <c r="A8" t="inlineStr">
        <is>
          <t>Contingency (10.0%)</t>
        </is>
      </c>
      <c r="E8" s="12">
        <f>ROUND(BACKUP!B17/1000,0)</f>
        <v/>
      </c>
    </row>
    <row r="9">
      <c r="A9" s="2" t="inlineStr">
        <is>
          <t>Total Contract Cost</t>
        </is>
      </c>
      <c r="E9" s="11">
        <f>ROUND(BACKUP!B18/1000,0)</f>
        <v/>
      </c>
    </row>
    <row r="10">
      <c r="A10" t="inlineStr">
        <is>
          <t>Supervision, Inspection and Overhead (8.0%)</t>
        </is>
      </c>
      <c r="E10" s="12">
        <f>ROUND(BACKUP!B19/1000,0)</f>
        <v/>
      </c>
    </row>
    <row r="11">
      <c r="A11" s="2" t="inlineStr">
        <is>
          <t>Total Funded Cost</t>
        </is>
      </c>
      <c r="E11" s="11">
        <f>ROUND(BACKUP!B20/1000,0)</f>
        <v/>
      </c>
    </row>
    <row r="12">
      <c r="A12" t="inlineStr">
        <is>
          <t>Design-Build - Design Cost (4.0%)</t>
        </is>
      </c>
      <c r="E12" s="12">
        <f>ROUND(BACKUP!B21/1000,0)</f>
        <v/>
      </c>
    </row>
    <row r="13">
      <c r="A13" s="13" t="inlineStr">
        <is>
          <t>TOTAL PROJECT COST</t>
        </is>
      </c>
      <c r="E13" s="14">
        <f>BACKUP!B23</f>
        <v/>
      </c>
    </row>
    <row r="14">
      <c r="A14" t="inlineStr">
        <is>
          <t>Planning and Design (6.0%) (NON ADD)</t>
        </is>
      </c>
      <c r="E14" s="15">
        <f>ROUND(BACKUP!B24/1000,0)</f>
        <v/>
      </c>
    </row>
    <row r="15">
      <c r="A15" t="inlineStr">
        <is>
          <t>Equipment from Other Appropriations (NON ADD)</t>
        </is>
      </c>
      <c r="E15" s="15" t="n">
        <v>0</v>
      </c>
    </row>
    <row r="17">
      <c r="A17" s="2" t="inlineStr">
        <is>
          <t>Classification of Work</t>
        </is>
      </c>
    </row>
    <row r="18">
      <c r="A18" t="inlineStr">
        <is>
          <t xml:space="preserve">  Construction</t>
        </is>
      </c>
      <c r="E18" s="12">
        <f>E13</f>
        <v/>
      </c>
    </row>
    <row r="19">
      <c r="A19" s="2" t="inlineStr">
        <is>
          <t>Special Interest Codes</t>
        </is>
      </c>
    </row>
    <row r="20">
      <c r="A20" t="inlineStr">
        <is>
          <t xml:space="preserve">  Restoration and Modernization</t>
        </is>
      </c>
      <c r="E20" s="12">
        <f>E13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10" customWidth="1" min="1" max="1"/>
  </cols>
  <sheetData>
    <row r="1">
      <c r="A1" s="3" t="inlineStr">
        <is>
          <t>10. Description of Proposed Construction</t>
        </is>
      </c>
    </row>
    <row r="3" ht="800" customHeight="1">
      <c r="A3" s="16" t="inlineStr">
        <is>
          <t>The building serves as the primary automotive organizational shop for 4th Marine
  Regiment (4th MarRegt) and Combat Logistics Battalion 4 (CLB-4) on Camp Schwab.
  Following completion of this project, the building will remain in operational use
  for a minimum of 20 years.
  This project provides for the repair by replacement of the facility's failing
  mechanical, electrical, and life safety systems, correction of moisture-related
  architectural deficiencies, modernization of the telecommunications infrastructure,
  and installation of a mass notification system across both floors to meet current
  operational requirements, network standards, and UFC compliance. Minor deficiencies
  identified during the project scope will also be repaired. The project also replaces
  end-of-life exhaust systems, repairs plumbing safety stations, and addresses
  exterior door serviceability.
  MECHANICAL: The project will replace all seven existing HVAC split unit systems and
  24 associated indoor fan coil units throughout the facility. New split unit HVAC
  will be installed in the first and second floor hallways. The air-exchange
  infrastructure will be redesigned to improve building-wide air circulation,
  including replacement of ventilation components, evaluation and right-sizing of fan
  power, and installation of door louvers. All four direct outdoor air supply units
  serving administrative areas will be replaced. Twenty-two exhaust fans serving
  restrooms, shops, mechanical rooms, and maintenance bays will be replaced. Ten
  vehicle exhaust hose reel assemblies in the maintenance bays will be replaced. The
  abandoned dust collection system in the Wood Shop will be fully removed. The welding
  exhaust system in the Welding Shop, including fans, roof ventilator, exhaust hood,
  and associated ductwork, will be repaired and restored. The battery room ventilation
  and conditioning system will be upgraded to meet code requirements. The compressed
  air system will be inspected, pressure-tested, and repaired as necessary.
  ELECTRICAL: All high-bay overhead lighting fixtures will be replaced throughout the
  facility, including 62 EA standard high-bay fixtures and 30 EA 400-watt metal halide
  fixtures requiring lift and rigging. All motion sensor-capable and optically-
  sensored lighting fixtures will be replaced. Electrical panel work, circuit
  modifications, and branch wiring associated with fixture replacement will be
  performed on both floors.
  ARCHITECTURAL: Replace mold/mildew-affected ceiling tile. Repair gypsum and concrete
  wall damage. Resecure exterior HVAC anchor cables. Remediate restroom mold/mildew.
  COMMUNICATIONS: New Category 6 infrastructure will be installed throughout the
  facility according to the current MCIPAC G-6 policy. Both telecom rooms are included
  in scope. Seventy NIPR network drops will be installed to support 4th Marine
  Regiment and CLB-4 operational requirements.
  CYBERSECURITY: The project's design and construction shall fully address Facility-
  Related Control Systems (FRCS) cybersecurity requirements, to include cybersecurity
  commissioning. These requirements are in accordance with current Department of
  Defense (DoD) criteria, Unified Facilities Criteria (UFC) standards, and National
  Institute of Standards and Technology (NIST) guidelines. Cybersecurity features
  include hardware, software, documentation, and testing provided by the construction
  contractor for FRCS. Cybersecurity commissioning covers government-provided
  documentation and testing for FRCS cybersecurity.
  PLUMBING: All emergency eyewash and shower stations will be replaced building-wide.
  Additional emergency shower capability will be added at maintenance bay locations
  currently served by eyewash only, in compliance with ANSI Z358.1 distance
  requirements. The second-floor electric water cooler will be replaced.
  LIFE SAFETY: Emergency lighting fixtures will be replaced with units incorporating
  integral battery backup throughout the facility. A mass notification system will be
  installed in compliance with applicable UFC guidelines and Fire Protection
  Engineering for Facilities.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44" customWidth="1" min="1" max="1"/>
    <col width="18" customWidth="1" min="2" max="2"/>
  </cols>
  <sheetData>
    <row r="1">
      <c r="A1" s="3" t="inlineStr">
        <is>
          <t>BACKUP - Locked TPC back-solver (drives BLOCK9 face)</t>
        </is>
      </c>
    </row>
    <row r="3">
      <c r="A3" s="13" t="inlineStr">
        <is>
          <t>INPUTS (locked)</t>
        </is>
      </c>
    </row>
    <row r="4">
      <c r="A4" s="2" t="inlineStr">
        <is>
          <t>Locked TPC ($)</t>
        </is>
      </c>
      <c r="B4" s="17" t="n">
        <v>3527753</v>
      </c>
    </row>
    <row r="5">
      <c r="A5" s="2" t="inlineStr">
        <is>
          <t>GSF (iNFADS, locked Quantity)</t>
        </is>
      </c>
      <c r="B5" s="18" t="n">
        <v>25390</v>
      </c>
    </row>
    <row r="6">
      <c r="A6" s="2" t="inlineStr">
        <is>
          <t>PRV ($, iNFADS)</t>
        </is>
      </c>
      <c r="B6" s="17" t="n">
        <v>39507617</v>
      </c>
    </row>
    <row r="7">
      <c r="A7" s="2" t="inlineStr">
        <is>
          <t>LSH ($, 2.5% of PRV)</t>
        </is>
      </c>
      <c r="B7" s="17">
        <f>B6*0.025</f>
        <v/>
      </c>
    </row>
    <row r="8">
      <c r="A8" s="2" t="inlineStr">
        <is>
          <t>Multiplier (1.10 x 1.08 x 1.04)</t>
        </is>
      </c>
      <c r="B8" s="19" t="n">
        <v>1.23552</v>
      </c>
    </row>
    <row r="10">
      <c r="A10" s="13" t="inlineStr">
        <is>
          <t>PAX ENTRY (what Anthony types into Block 9)</t>
        </is>
      </c>
    </row>
    <row r="11">
      <c r="A11" s="2" t="inlineStr">
        <is>
          <t>Unit Cost ($/SF)</t>
        </is>
      </c>
      <c r="B11" s="20">
        <f>ROUND(B4/B5/B8,2)</f>
        <v/>
      </c>
    </row>
    <row r="12">
      <c r="A12" s="2" t="inlineStr">
        <is>
          <t>Items Table Subtotal (raw $) = GSF x UC</t>
        </is>
      </c>
      <c r="B12" s="21">
        <f>B5*B11</f>
        <v/>
      </c>
    </row>
    <row r="13">
      <c r="A13" s="2" t="inlineStr">
        <is>
          <t>Items Table Subtotal ($000)</t>
        </is>
      </c>
      <c r="B13" s="12">
        <f>ROUND(B12/1000,0)</f>
        <v/>
      </c>
    </row>
    <row r="15">
      <c r="A15" s="13" t="inlineStr">
        <is>
          <t>PAX ROLLUP (computed from items table subtotal)</t>
        </is>
      </c>
    </row>
    <row r="16">
      <c r="A16" s="2" t="inlineStr">
        <is>
          <t>Subtotal ($)</t>
        </is>
      </c>
      <c r="B16" s="21">
        <f>B12</f>
        <v/>
      </c>
    </row>
    <row r="17">
      <c r="A17" s="2" t="inlineStr">
        <is>
          <t>Contingency (10.0%)</t>
        </is>
      </c>
      <c r="B17" s="21">
        <f>B16*0.10</f>
        <v/>
      </c>
    </row>
    <row r="18">
      <c r="A18" s="2" t="inlineStr">
        <is>
          <t>Total Contract Cost</t>
        </is>
      </c>
      <c r="B18" s="21">
        <f>B16+B17</f>
        <v/>
      </c>
    </row>
    <row r="19">
      <c r="A19" s="2" t="inlineStr">
        <is>
          <t>SIOH (8.0%)</t>
        </is>
      </c>
      <c r="B19" s="21">
        <f>B18*0.08</f>
        <v/>
      </c>
    </row>
    <row r="20">
      <c r="A20" s="2" t="inlineStr">
        <is>
          <t>Total Funded Cost</t>
        </is>
      </c>
      <c r="B20" s="21">
        <f>B18+B19</f>
        <v/>
      </c>
    </row>
    <row r="21">
      <c r="A21" s="2" t="inlineStr">
        <is>
          <t>Design-Build Design (4.0%)</t>
        </is>
      </c>
      <c r="B21" s="21">
        <f>B20*0.04</f>
        <v/>
      </c>
    </row>
    <row r="22">
      <c r="A22" s="2" t="inlineStr">
        <is>
          <t>Total Project Cost ($)</t>
        </is>
      </c>
      <c r="B22" s="21">
        <f>B20+B21</f>
        <v/>
      </c>
    </row>
    <row r="23">
      <c r="A23" s="2" t="inlineStr">
        <is>
          <t>Total Project Cost ($000)</t>
        </is>
      </c>
      <c r="B23" s="12">
        <f>ROUND(B22/1000,0)</f>
        <v/>
      </c>
    </row>
    <row r="24">
      <c r="A24" s="2" t="inlineStr">
        <is>
          <t>Planning and Design (6.0%) (NON ADD)</t>
        </is>
      </c>
      <c r="B24" s="21">
        <f>B22*0.06</f>
        <v/>
      </c>
    </row>
    <row r="26">
      <c r="A26" s="13" t="inlineStr">
        <is>
          <t>RECONCILIATION</t>
        </is>
      </c>
    </row>
    <row r="27">
      <c r="A27" t="inlineStr">
        <is>
          <t>Workbook TPC ($)</t>
        </is>
      </c>
      <c r="B27" s="21">
        <f>B22</f>
        <v/>
      </c>
    </row>
    <row r="28">
      <c r="A28" t="inlineStr">
        <is>
          <t>Locked TPC ($)</t>
        </is>
      </c>
      <c r="B28" s="21">
        <f>B4</f>
        <v/>
      </c>
    </row>
    <row r="29">
      <c r="A29" t="inlineStr">
        <is>
          <t>Delta ($)</t>
        </is>
      </c>
      <c r="B29" s="22">
        <f>B27-B28</f>
        <v/>
      </c>
    </row>
    <row r="30">
      <c r="A30" t="inlineStr">
        <is>
          <t>Workbook TPC ($000)</t>
        </is>
      </c>
      <c r="B30" s="12">
        <f>B23</f>
        <v/>
      </c>
    </row>
    <row r="31">
      <c r="A31" t="inlineStr">
        <is>
          <t>Locked TPC ($000, printed)</t>
        </is>
      </c>
      <c r="B31" s="12">
        <f>ROUND(B4/1000,0)</f>
        <v/>
      </c>
    </row>
    <row r="32">
      <c r="A32" t="inlineStr">
        <is>
          <t>Delta ($000) - MUST BE 0</t>
        </is>
      </c>
      <c r="B32" s="23">
        <f>B30-B31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8" customWidth="1" min="1" max="1"/>
    <col width="14" customWidth="1" min="2" max="2"/>
    <col width="80" customWidth="1" min="3" max="3"/>
  </cols>
  <sheetData>
    <row r="1">
      <c r="A1" s="3" t="inlineStr">
        <is>
          <t>RATES (PAX Associated Costs and project parameters)</t>
        </is>
      </c>
    </row>
    <row r="3">
      <c r="A3" s="13" t="inlineStr">
        <is>
          <t>PAX Associated Costs (pre-loaded by operator)</t>
        </is>
      </c>
    </row>
    <row r="4">
      <c r="A4" s="2" t="inlineStr">
        <is>
          <t>Contingency</t>
        </is>
      </c>
      <c r="B4" s="24" t="n">
        <v>0.1</v>
      </c>
      <c r="C4" t="inlineStr">
        <is>
          <t>FSRM program-directed; CRB Guidelines May 2024 (REV #15)</t>
        </is>
      </c>
    </row>
    <row r="5">
      <c r="A5" s="2" t="inlineStr">
        <is>
          <t>Supervision Inspection and Overhead (SIOH)</t>
        </is>
      </c>
      <c r="B5" s="24" t="n">
        <v>0.08</v>
      </c>
      <c r="C5" t="inlineStr">
        <is>
          <t>OCONUS FSRM customer-directed for MCIPAC G-F</t>
        </is>
      </c>
    </row>
    <row r="6">
      <c r="A6" s="2" t="inlineStr">
        <is>
          <t>Design Build (DBD) - REQUIRED</t>
        </is>
      </c>
      <c r="B6" s="24" t="n">
        <v>0.04</v>
      </c>
      <c r="C6" t="inlineStr">
        <is>
          <t>UFC 3-730-01 (2024) - applied after Total Funded Cost</t>
        </is>
      </c>
    </row>
    <row r="7">
      <c r="A7" s="2" t="inlineStr">
        <is>
          <t>Planning and Design (P&amp;D) (NON ADD)</t>
        </is>
      </c>
      <c r="B7" s="24" t="n">
        <v>0.06</v>
      </c>
      <c r="C7" t="inlineStr">
        <is>
          <t>Does not roll into TPC</t>
        </is>
      </c>
    </row>
    <row r="9">
      <c r="A9" s="13" t="inlineStr">
        <is>
          <t>Project parameters</t>
        </is>
      </c>
    </row>
    <row r="10">
      <c r="A10" s="2" t="inlineStr">
        <is>
          <t>Area Cost Factor (ACF)</t>
        </is>
      </c>
      <c r="B10" t="n">
        <v>1.85</v>
      </c>
      <c r="C10" t="inlineStr">
        <is>
          <t>UFC 3-701-01 w/Change 7 (25 Jul 2025), Table 4-1, M67400-0004 OCONUS Okinawa</t>
        </is>
      </c>
    </row>
    <row r="11">
      <c r="A11" s="2" t="inlineStr">
        <is>
          <t>LSH Rate (% of PRV)</t>
        </is>
      </c>
      <c r="B11" s="24" t="n">
        <v>0.025</v>
      </c>
      <c r="C11" t="inlineStr">
        <is>
          <t>Local direction at startup</t>
        </is>
      </c>
    </row>
    <row r="12">
      <c r="A12" s="2" t="inlineStr">
        <is>
          <t>JPY/USD Planning Rate</t>
        </is>
      </c>
      <c r="B12" t="n">
        <v>150.4415</v>
      </c>
      <c r="C12" t="inlineStr">
        <is>
          <t>FY26 budget planning rate</t>
        </is>
      </c>
    </row>
    <row r="13">
      <c r="A13" s="2" t="inlineStr">
        <is>
          <t>JPY/USD H.10 Rate (live)</t>
        </is>
      </c>
      <c r="B13" t="inlineStr"/>
      <c r="C13" t="inlineStr">
        <is>
          <t>Verify Federal Reserve H.10 on date of PAX submission</t>
        </is>
      </c>
    </row>
    <row r="14">
      <c r="A14" s="2" t="inlineStr">
        <is>
          <t>Escalation (annual)</t>
        </is>
      </c>
      <c r="B14" s="24" t="n">
        <v>0.021</v>
      </c>
      <c r="C14" t="inlineStr">
        <is>
          <t>OSD FY25 published rate</t>
        </is>
      </c>
    </row>
    <row r="15">
      <c r="A15" s="2" t="inlineStr">
        <is>
          <t>General Requirements</t>
        </is>
      </c>
      <c r="B15" s="24" t="n">
        <v>0.1</v>
      </c>
      <c r="C15" t="inlineStr">
        <is>
          <t>FSRM program-directed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2" customWidth="1" min="1" max="1"/>
    <col width="18" customWidth="1" min="2" max="2"/>
    <col width="70" customWidth="1" min="3" max="3"/>
  </cols>
  <sheetData>
    <row r="1">
      <c r="A1" s="3" t="inlineStr">
        <is>
          <t>REFERENCES (authority cites)</t>
        </is>
      </c>
    </row>
    <row r="3">
      <c r="A3" s="13" t="inlineStr">
        <is>
          <t>Document</t>
        </is>
      </c>
      <c r="B3" s="13" t="inlineStr">
        <is>
          <t>Date / Edition</t>
        </is>
      </c>
      <c r="C3" s="13" t="inlineStr">
        <is>
          <t>Authority for</t>
        </is>
      </c>
    </row>
    <row r="4">
      <c r="A4" s="2" t="inlineStr">
        <is>
          <t>MCO 11000.5</t>
        </is>
      </c>
      <c r="B4" t="inlineStr">
        <is>
          <t>03 Jun 2016</t>
        </is>
      </c>
      <c r="C4" t="inlineStr">
        <is>
          <t>Real Property FSRM Program</t>
        </is>
      </c>
    </row>
    <row r="5">
      <c r="A5" s="2" t="inlineStr">
        <is>
          <t>MCO 11000.12</t>
        </is>
      </c>
      <c r="B5" t="inlineStr">
        <is>
          <t>08 Sep 2014</t>
        </is>
      </c>
      <c r="C5" t="inlineStr">
        <is>
          <t>Real Property Facilities Manual</t>
        </is>
      </c>
    </row>
    <row r="6">
      <c r="A6" s="2" t="inlineStr">
        <is>
          <t>CRB Guidelines (REV #15)</t>
        </is>
      </c>
      <c r="B6" t="inlineStr">
        <is>
          <t>May 2024</t>
        </is>
      </c>
      <c r="C6" t="inlineStr">
        <is>
          <t>Block 9 line-item sequencing</t>
        </is>
      </c>
    </row>
    <row r="7">
      <c r="A7" s="2" t="inlineStr">
        <is>
          <t>UFC 3-701-01 with Change 7</t>
        </is>
      </c>
      <c r="B7" t="inlineStr">
        <is>
          <t>25 Jul 2025</t>
        </is>
      </c>
      <c r="C7" t="inlineStr">
        <is>
          <t>PUC and ACF tables, Equation 3-1 PRV formula</t>
        </is>
      </c>
    </row>
    <row r="8">
      <c r="A8" s="2" t="inlineStr">
        <is>
          <t>UFC 3-730-01</t>
        </is>
      </c>
      <c r="B8" t="inlineStr">
        <is>
          <t>2024</t>
        </is>
      </c>
      <c r="C8" t="inlineStr">
        <is>
          <t>Design-Build contracting; DB Design 4% applied after TFC</t>
        </is>
      </c>
    </row>
    <row r="9">
      <c r="A9" s="2" t="inlineStr">
        <is>
          <t>JED Cost Estimating Guide</t>
        </is>
      </c>
      <c r="B9" t="inlineStr">
        <is>
          <t>Nov 2025</t>
        </is>
      </c>
      <c r="C9" t="inlineStr">
        <is>
          <t>Cost estimating methodology</t>
        </is>
      </c>
    </row>
    <row r="10">
      <c r="A10" s="2" t="inlineStr">
        <is>
          <t>Japan District Design Guide v9</t>
        </is>
      </c>
      <c r="B10" t="inlineStr">
        <is>
          <t>April 2025</t>
        </is>
      </c>
      <c r="C10" t="inlineStr">
        <is>
          <t>Okinawa-specific design criteria</t>
        </is>
      </c>
    </row>
    <row r="12">
      <c r="A12" s="13" t="inlineStr">
        <is>
          <t>NOT CITED</t>
        </is>
      </c>
    </row>
    <row r="13">
      <c r="A13" t="inlineStr">
        <is>
          <t>NAVFAC 11010.44E</t>
        </is>
      </c>
      <c r="B13" t="inlineStr">
        <is>
          <t>INACTIVE</t>
        </is>
      </c>
      <c r="C13" t="inlineStr">
        <is>
          <t>Inactivated by 1987 issuance; not citable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2026-04-29T07:12:13Z</dcterms:created>
  <dcterms:modified xsi:type="dcterms:W3CDTF">2026-04-29T07:12:13Z</dcterms:modified>
</cp:coreProperties>
</file>